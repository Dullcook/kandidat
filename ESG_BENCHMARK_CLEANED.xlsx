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.larsen/Library/Mobile Documents/com~apple~CloudDocs/Desktop/Speciale data/"/>
    </mc:Choice>
  </mc:AlternateContent>
  <xr:revisionPtr revIDLastSave="0" documentId="13_ncr:1_{F2D6E91B-ABA5-5A45-ABBF-6CA7AEF4BE4D}" xr6:coauthVersionLast="47" xr6:coauthVersionMax="47" xr10:uidLastSave="{00000000-0000-0000-0000-000000000000}"/>
  <bookViews>
    <workbookView xWindow="380" yWindow="500" windowWidth="28040" windowHeight="16100" xr2:uid="{839FC0FA-5EF7-8B48-B2FB-2283E355CE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1" i="1"/>
</calcChain>
</file>

<file path=xl/sharedStrings.xml><?xml version="1.0" encoding="utf-8"?>
<sst xmlns="http://schemas.openxmlformats.org/spreadsheetml/2006/main" count="251" uniqueCount="236">
  <si>
    <t>Name</t>
  </si>
  <si>
    <t>EURO STOXX 50 NR USD</t>
  </si>
  <si>
    <t>MSCI EURO SRI SEL RED FOSSIL FUEL NR EUR</t>
  </si>
  <si>
    <t>STOXX Europe 600 Insurance NR EUR</t>
  </si>
  <si>
    <t>STOXX Europe 600 Utilities NR EUR</t>
  </si>
  <si>
    <t>STOXX Europe 600 Indl Gd&amp;Svcs NR EUR</t>
  </si>
  <si>
    <t>STOXX Europe 600 Media NR EUR</t>
  </si>
  <si>
    <t>01/01/2019 - 31/01/2019</t>
  </si>
  <si>
    <t>01/02/2019 - 28/02/2019</t>
  </si>
  <si>
    <t>01/03/2019 - 31/03/2019</t>
  </si>
  <si>
    <t>01/04/2019 - 30/04/2019</t>
  </si>
  <si>
    <t>01/05/2019 - 31/05/2019</t>
  </si>
  <si>
    <t>01/06/2019 - 30/06/2019</t>
  </si>
  <si>
    <t>01/07/2019 - 31/07/2019</t>
  </si>
  <si>
    <t>01/08/2019 - 31/08/2019</t>
  </si>
  <si>
    <t>01/09/2019 - 30/09/2019</t>
  </si>
  <si>
    <t>01/10/2019 - 31/10/2019</t>
  </si>
  <si>
    <t>01/11/2019 - 30/11/2019</t>
  </si>
  <si>
    <t>01/12/2019 - 31/12/2019</t>
  </si>
  <si>
    <t>01/01/2020 - 31/01/2020</t>
  </si>
  <si>
    <t>01/02/2020 - 29/02/2020</t>
  </si>
  <si>
    <t>01/03/2020 - 31/03/2020</t>
  </si>
  <si>
    <t>01/04/2020 - 30/04/2020</t>
  </si>
  <si>
    <t>01/05/2020 - 31/05/2020</t>
  </si>
  <si>
    <t>01/06/2020 - 30/06/2020</t>
  </si>
  <si>
    <t>01/07/2020 - 31/07/2020</t>
  </si>
  <si>
    <t>01/08/2020 - 31/08/2020</t>
  </si>
  <si>
    <t>01/09/2020 - 30/09/2020</t>
  </si>
  <si>
    <t>01/10/2020 - 31/10/2020</t>
  </si>
  <si>
    <t>01/11/2020 - 30/11/2020</t>
  </si>
  <si>
    <t>01/12/2020 - 31/12/2020</t>
  </si>
  <si>
    <t>01/01/2021 - 31/01/2021</t>
  </si>
  <si>
    <t>01/02/2021 - 28/02/2021</t>
  </si>
  <si>
    <t>01/03/2021 - 31/03/2021</t>
  </si>
  <si>
    <t>01/04/2021 - 30/04/2021</t>
  </si>
  <si>
    <t>01/05/2021 - 31/05/2021</t>
  </si>
  <si>
    <t>01/06/2021 - 30/06/2021</t>
  </si>
  <si>
    <t>01/07/2021 - 31/07/2021</t>
  </si>
  <si>
    <t>01/08/2021 - 31/08/2021</t>
  </si>
  <si>
    <t>01/09/2021 - 30/09/2021</t>
  </si>
  <si>
    <t>01/10/2021 - 31/10/2021</t>
  </si>
  <si>
    <t>01/11/2021 - 30/11/2021</t>
  </si>
  <si>
    <t>01/12/2021 - 31/12/2021</t>
  </si>
  <si>
    <t>01/01/2022 - 31/01/2022</t>
  </si>
  <si>
    <t>01/02/2022 - 28/02/2022</t>
  </si>
  <si>
    <t>01/03/2022 - 31/03/2022</t>
  </si>
  <si>
    <t>01/04/2022 - 30/04/2022</t>
  </si>
  <si>
    <t>01/05/2022 - 31/05/2022</t>
  </si>
  <si>
    <t>01/06/2022 - 30/06/2022</t>
  </si>
  <si>
    <t>01/07/2022 - 31/07/2022</t>
  </si>
  <si>
    <t>01/08/2022 - 31/08/2022</t>
  </si>
  <si>
    <t>01/09/2022 - 30/09/2022</t>
  </si>
  <si>
    <t>01/10/2022 - 31/10/2022</t>
  </si>
  <si>
    <t>01/11/2022 - 30/11/2022</t>
  </si>
  <si>
    <t>01/12/2022 - 31/12/2022</t>
  </si>
  <si>
    <t>01/01/2023 - 31/01/2023</t>
  </si>
  <si>
    <t>01/02/2023 - 28/02/2023</t>
  </si>
  <si>
    <t>01/03/2023 - 31/03/2023</t>
  </si>
  <si>
    <t>01/04/2023 - 30/04/2023</t>
  </si>
  <si>
    <t>01/05/2023 - 31/05/2023</t>
  </si>
  <si>
    <t>01/06/2023 - 30/06/2023</t>
  </si>
  <si>
    <t>01/07/2023 - 31/07/2023</t>
  </si>
  <si>
    <t>01/08/2023 - 31/08/2023</t>
  </si>
  <si>
    <t>01/09/2023 - 30/09/2023</t>
  </si>
  <si>
    <t>01/10/2023 - 31/10/2023</t>
  </si>
  <si>
    <t>01/11/2023 - 30/11/2023</t>
  </si>
  <si>
    <t>01/12/2023 - 31/12/2023</t>
  </si>
  <si>
    <t>01/01/2024 - 31/01/2024</t>
  </si>
  <si>
    <t>01/02/2024 - 29/02/2024</t>
  </si>
  <si>
    <t>01/03/2024 - 31/03/2024</t>
  </si>
  <si>
    <t>01/04/2024 - 30/04/2024</t>
  </si>
  <si>
    <t>01/05/2024 - 31/05/2024</t>
  </si>
  <si>
    <t>01/06/2024 - 30/06/2024</t>
  </si>
  <si>
    <t>01/07/2024 - 31/07/2024</t>
  </si>
  <si>
    <t>01/08/2024 - 31/08/2024</t>
  </si>
  <si>
    <t>01/09/2024 - 30/09/2024</t>
  </si>
  <si>
    <t>01/10/2024 - 31/10/2024</t>
  </si>
  <si>
    <t>01/11/2024 - 30/11/2024</t>
  </si>
  <si>
    <t>01/12/2024 - 31/12/2024</t>
  </si>
  <si>
    <t>01/01/2025 - 31/01/2025</t>
  </si>
  <si>
    <t>01/02/2025 - 28/02/2025</t>
  </si>
  <si>
    <t> -6,06</t>
  </si>
  <si>
    <t> -2,32</t>
  </si>
  <si>
    <t> -2,15</t>
  </si>
  <si>
    <t> -3,90</t>
  </si>
  <si>
    <t> -9,26</t>
  </si>
  <si>
    <t> -16,30</t>
  </si>
  <si>
    <t> -4,23</t>
  </si>
  <si>
    <t> -7,93</t>
  </si>
  <si>
    <t> -2,58</t>
  </si>
  <si>
    <t> -2,34</t>
  </si>
  <si>
    <t> -5,17</t>
  </si>
  <si>
    <t> -6,95</t>
  </si>
  <si>
    <t> -4,16</t>
  </si>
  <si>
    <t> -5,74</t>
  </si>
  <si>
    <t> -1,39</t>
  </si>
  <si>
    <t> -7,16</t>
  </si>
  <si>
    <t> -10,96</t>
  </si>
  <si>
    <t> -6,41</t>
  </si>
  <si>
    <t> -8,00</t>
  </si>
  <si>
    <t> -0,77</t>
  </si>
  <si>
    <t> -0,50</t>
  </si>
  <si>
    <t> -5,57</t>
  </si>
  <si>
    <t> -5,34</t>
  </si>
  <si>
    <t> -2,81</t>
  </si>
  <si>
    <t> -3,41</t>
  </si>
  <si>
    <t> -2,99</t>
  </si>
  <si>
    <t> -5,97</t>
  </si>
  <si>
    <t> -3,07</t>
  </si>
  <si>
    <t> -0,06</t>
  </si>
  <si>
    <t> -3,66</t>
  </si>
  <si>
    <t> -0,02</t>
  </si>
  <si>
    <t> -0,45</t>
  </si>
  <si>
    <t> -7,53</t>
  </si>
  <si>
    <t> -11,92</t>
  </si>
  <si>
    <t> -0,44</t>
  </si>
  <si>
    <t> -5,55</t>
  </si>
  <si>
    <t> -0,96</t>
  </si>
  <si>
    <t> -4,51</t>
  </si>
  <si>
    <t> -2,55</t>
  </si>
  <si>
    <t> -5,80</t>
  </si>
  <si>
    <t> -4,01</t>
  </si>
  <si>
    <t> -1,50</t>
  </si>
  <si>
    <t> -3,47</t>
  </si>
  <si>
    <t> -6,01</t>
  </si>
  <si>
    <t> -6,04</t>
  </si>
  <si>
    <t> -7,22</t>
  </si>
  <si>
    <t> -3,40</t>
  </si>
  <si>
    <t> -3,05</t>
  </si>
  <si>
    <t> -2,54</t>
  </si>
  <si>
    <t> -2,67</t>
  </si>
  <si>
    <t> -2,06</t>
  </si>
  <si>
    <t> -0,35</t>
  </si>
  <si>
    <t> -0,94</t>
  </si>
  <si>
    <t> -5,01</t>
  </si>
  <si>
    <t> -1,62</t>
  </si>
  <si>
    <t> -0,11</t>
  </si>
  <si>
    <t> -0,23</t>
  </si>
  <si>
    <t> -4,60</t>
  </si>
  <si>
    <t> -5,50</t>
  </si>
  <si>
    <t> -1,08</t>
  </si>
  <si>
    <t> -10,72</t>
  </si>
  <si>
    <t> -19,82</t>
  </si>
  <si>
    <t> -1,35</t>
  </si>
  <si>
    <t> -2,92</t>
  </si>
  <si>
    <t> -6,63</t>
  </si>
  <si>
    <t> -6,96</t>
  </si>
  <si>
    <t> -5,07</t>
  </si>
  <si>
    <t> -1,67</t>
  </si>
  <si>
    <t> -3,04</t>
  </si>
  <si>
    <t> -1,38</t>
  </si>
  <si>
    <t> -4,89</t>
  </si>
  <si>
    <t> -7,79</t>
  </si>
  <si>
    <t> -2,05</t>
  </si>
  <si>
    <t> -1,97</t>
  </si>
  <si>
    <t> -5,60</t>
  </si>
  <si>
    <t> -5,18</t>
  </si>
  <si>
    <t> -0,25</t>
  </si>
  <si>
    <t> -5,25</t>
  </si>
  <si>
    <t> -3,13</t>
  </si>
  <si>
    <t> -0,27</t>
  </si>
  <si>
    <t> -0,03</t>
  </si>
  <si>
    <t> -3,70</t>
  </si>
  <si>
    <t> -0,90</t>
  </si>
  <si>
    <t> -2,44</t>
  </si>
  <si>
    <t> -0,34</t>
  </si>
  <si>
    <t> -0,76</t>
  </si>
  <si>
    <t> -0,21</t>
  </si>
  <si>
    <t> -2,96</t>
  </si>
  <si>
    <t> -16,49</t>
  </si>
  <si>
    <t> -1,27</t>
  </si>
  <si>
    <t> -1,16</t>
  </si>
  <si>
    <t> -2,09</t>
  </si>
  <si>
    <t> -0,63</t>
  </si>
  <si>
    <t> -5,96</t>
  </si>
  <si>
    <t> -1,99</t>
  </si>
  <si>
    <t> -8,58</t>
  </si>
  <si>
    <t> -0,71</t>
  </si>
  <si>
    <t> -1,93</t>
  </si>
  <si>
    <t> -1,15</t>
  </si>
  <si>
    <t> -9,84</t>
  </si>
  <si>
    <t> -5,65</t>
  </si>
  <si>
    <t> -8,90</t>
  </si>
  <si>
    <t> -1,83</t>
  </si>
  <si>
    <t> -0,84</t>
  </si>
  <si>
    <t> -3,01</t>
  </si>
  <si>
    <t> -4,27</t>
  </si>
  <si>
    <t> -3,14</t>
  </si>
  <si>
    <t> -5,63</t>
  </si>
  <si>
    <t> -2,73</t>
  </si>
  <si>
    <t> -4,34</t>
  </si>
  <si>
    <t> -3,44</t>
  </si>
  <si>
    <t> -7,09</t>
  </si>
  <si>
    <t> -0,58</t>
  </si>
  <si>
    <t> -1,80</t>
  </si>
  <si>
    <t> -9,63</t>
  </si>
  <si>
    <t> -20,88</t>
  </si>
  <si>
    <t> -3,37</t>
  </si>
  <si>
    <t> -0,80</t>
  </si>
  <si>
    <t> -4,50</t>
  </si>
  <si>
    <t> -2,00</t>
  </si>
  <si>
    <t> -9,11</t>
  </si>
  <si>
    <t> -3,95</t>
  </si>
  <si>
    <t> -0,09</t>
  </si>
  <si>
    <t> -3,49</t>
  </si>
  <si>
    <t> -1,95</t>
  </si>
  <si>
    <t> -10,55</t>
  </si>
  <si>
    <t> -8,23</t>
  </si>
  <si>
    <t> -7,10</t>
  </si>
  <si>
    <t> -3,46</t>
  </si>
  <si>
    <t> -0,53</t>
  </si>
  <si>
    <t> -5,23</t>
  </si>
  <si>
    <t> -3,19</t>
  </si>
  <si>
    <t> -6,13</t>
  </si>
  <si>
    <t> -2,35</t>
  </si>
  <si>
    <t> -1,05</t>
  </si>
  <si>
    <t> -2,16</t>
  </si>
  <si>
    <t> -2,50</t>
  </si>
  <si>
    <t> -0,83</t>
  </si>
  <si>
    <t> -1,64</t>
  </si>
  <si>
    <t> -10,08</t>
  </si>
  <si>
    <t> -16,97</t>
  </si>
  <si>
    <t> -7,31</t>
  </si>
  <si>
    <t> -0,13</t>
  </si>
  <si>
    <t> -2,47</t>
  </si>
  <si>
    <t> -3,33</t>
  </si>
  <si>
    <t> -5,42</t>
  </si>
  <si>
    <t> -6,31</t>
  </si>
  <si>
    <t> -6,08</t>
  </si>
  <si>
    <t> -8,35</t>
  </si>
  <si>
    <t> -3,86</t>
  </si>
  <si>
    <t> -6,16</t>
  </si>
  <si>
    <t> -2,27</t>
  </si>
  <si>
    <t> -1,56</t>
  </si>
  <si>
    <t> -1,21</t>
  </si>
  <si>
    <t> -0,47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</si>
</sst>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3995-B5E5-2D46-AF51-E4BB2C0B3987}">
  <dimension ref="A1:BW7"/>
  <sheetViews>
    <sheetView tabSelected="1" workbookViewId="0">
      <selection activeCell="D18" sqref="D18"/>
    </sheetView>
  </sheetViews>
  <sheetFormatPr baseColWidth="10" defaultRowHeight="16" x14ac:dyDescent="0.2"/>
  <cols>
    <col min="1" max="1" width="39.6640625" style="4" bestFit="1" customWidth="1"/>
    <col min="2" max="2" width="22.5" style="4" bestFit="1" customWidth="1"/>
    <col min="3" max="16384" width="10.83203125" style="4"/>
  </cols>
  <sheetData>
    <row r="1" spans="1:75" x14ac:dyDescent="0.2">
      <c r="A1" s="2" t="s">
        <v>0</v>
      </c>
      <c r="B1" s="3">
        <f>EOMONTH(DATEVALUE(LEFT(Sheet2!B1,10)), 0)</f>
        <v>43496</v>
      </c>
      <c r="C1" s="3">
        <f>EOMONTH(DATEVALUE(LEFT(Sheet2!C1,10)), 0)</f>
        <v>43524</v>
      </c>
      <c r="D1" s="3">
        <f>EOMONTH(DATEVALUE(LEFT(Sheet2!D1,10)), 0)</f>
        <v>43555</v>
      </c>
      <c r="E1" s="3">
        <f>EOMONTH(DATEVALUE(LEFT(Sheet2!E1,10)), 0)</f>
        <v>43585</v>
      </c>
      <c r="F1" s="3">
        <f>EOMONTH(DATEVALUE(LEFT(Sheet2!F1,10)), 0)</f>
        <v>43616</v>
      </c>
      <c r="G1" s="3">
        <f>EOMONTH(DATEVALUE(LEFT(Sheet2!G1,10)), 0)</f>
        <v>43646</v>
      </c>
      <c r="H1" s="3">
        <f>EOMONTH(DATEVALUE(LEFT(Sheet2!H1,10)), 0)</f>
        <v>43677</v>
      </c>
      <c r="I1" s="3">
        <f>EOMONTH(DATEVALUE(LEFT(Sheet2!I1,10)), 0)</f>
        <v>43708</v>
      </c>
      <c r="J1" s="3">
        <f>EOMONTH(DATEVALUE(LEFT(Sheet2!J1,10)), 0)</f>
        <v>43738</v>
      </c>
      <c r="K1" s="3">
        <f>EOMONTH(DATEVALUE(LEFT(Sheet2!K1,10)), 0)</f>
        <v>43769</v>
      </c>
      <c r="L1" s="3">
        <f>EOMONTH(DATEVALUE(LEFT(Sheet2!L1,10)), 0)</f>
        <v>43799</v>
      </c>
      <c r="M1" s="3">
        <f>EOMONTH(DATEVALUE(LEFT(Sheet2!M1,10)), 0)</f>
        <v>43830</v>
      </c>
      <c r="N1" s="3">
        <f>EOMONTH(DATEVALUE(LEFT(Sheet2!N1,10)), 0)</f>
        <v>43861</v>
      </c>
      <c r="O1" s="3">
        <f>EOMONTH(DATEVALUE(LEFT(Sheet2!O1,10)), 0)</f>
        <v>43890</v>
      </c>
      <c r="P1" s="3">
        <f>EOMONTH(DATEVALUE(LEFT(Sheet2!P1,10)), 0)</f>
        <v>43921</v>
      </c>
      <c r="Q1" s="3">
        <f>EOMONTH(DATEVALUE(LEFT(Sheet2!Q1,10)), 0)</f>
        <v>43951</v>
      </c>
      <c r="R1" s="3">
        <f>EOMONTH(DATEVALUE(LEFT(Sheet2!R1,10)), 0)</f>
        <v>43982</v>
      </c>
      <c r="S1" s="3">
        <f>EOMONTH(DATEVALUE(LEFT(Sheet2!S1,10)), 0)</f>
        <v>44012</v>
      </c>
      <c r="T1" s="3">
        <f>EOMONTH(DATEVALUE(LEFT(Sheet2!T1,10)), 0)</f>
        <v>44043</v>
      </c>
      <c r="U1" s="3">
        <f>EOMONTH(DATEVALUE(LEFT(Sheet2!U1,10)), 0)</f>
        <v>44074</v>
      </c>
      <c r="V1" s="3">
        <f>EOMONTH(DATEVALUE(LEFT(Sheet2!V1,10)), 0)</f>
        <v>44104</v>
      </c>
      <c r="W1" s="3">
        <f>EOMONTH(DATEVALUE(LEFT(Sheet2!W1,10)), 0)</f>
        <v>44135</v>
      </c>
      <c r="X1" s="3">
        <f>EOMONTH(DATEVALUE(LEFT(Sheet2!X1,10)), 0)</f>
        <v>44165</v>
      </c>
      <c r="Y1" s="3">
        <f>EOMONTH(DATEVALUE(LEFT(Sheet2!Y1,10)), 0)</f>
        <v>44196</v>
      </c>
      <c r="Z1" s="3">
        <f>EOMONTH(DATEVALUE(LEFT(Sheet2!Z1,10)), 0)</f>
        <v>44227</v>
      </c>
      <c r="AA1" s="3">
        <f>EOMONTH(DATEVALUE(LEFT(Sheet2!AA1,10)), 0)</f>
        <v>44255</v>
      </c>
      <c r="AB1" s="3">
        <f>EOMONTH(DATEVALUE(LEFT(Sheet2!AB1,10)), 0)</f>
        <v>44286</v>
      </c>
      <c r="AC1" s="3">
        <f>EOMONTH(DATEVALUE(LEFT(Sheet2!AC1,10)), 0)</f>
        <v>44316</v>
      </c>
      <c r="AD1" s="3">
        <f>EOMONTH(DATEVALUE(LEFT(Sheet2!AD1,10)), 0)</f>
        <v>44347</v>
      </c>
      <c r="AE1" s="3">
        <f>EOMONTH(DATEVALUE(LEFT(Sheet2!AE1,10)), 0)</f>
        <v>44377</v>
      </c>
      <c r="AF1" s="3">
        <f>EOMONTH(DATEVALUE(LEFT(Sheet2!AF1,10)), 0)</f>
        <v>44408</v>
      </c>
      <c r="AG1" s="3">
        <f>EOMONTH(DATEVALUE(LEFT(Sheet2!AG1,10)), 0)</f>
        <v>44439</v>
      </c>
      <c r="AH1" s="3">
        <f>EOMONTH(DATEVALUE(LEFT(Sheet2!AH1,10)), 0)</f>
        <v>44469</v>
      </c>
      <c r="AI1" s="3">
        <f>EOMONTH(DATEVALUE(LEFT(Sheet2!AI1,10)), 0)</f>
        <v>44500</v>
      </c>
      <c r="AJ1" s="3">
        <f>EOMONTH(DATEVALUE(LEFT(Sheet2!AJ1,10)), 0)</f>
        <v>44530</v>
      </c>
      <c r="AK1" s="3">
        <f>EOMONTH(DATEVALUE(LEFT(Sheet2!AK1,10)), 0)</f>
        <v>44561</v>
      </c>
      <c r="AL1" s="3">
        <f>EOMONTH(DATEVALUE(LEFT(Sheet2!AL1,10)), 0)</f>
        <v>44592</v>
      </c>
      <c r="AM1" s="3">
        <f>EOMONTH(DATEVALUE(LEFT(Sheet2!AM1,10)), 0)</f>
        <v>44620</v>
      </c>
      <c r="AN1" s="3">
        <f>EOMONTH(DATEVALUE(LEFT(Sheet2!AN1,10)), 0)</f>
        <v>44651</v>
      </c>
      <c r="AO1" s="3">
        <f>EOMONTH(DATEVALUE(LEFT(Sheet2!AO1,10)), 0)</f>
        <v>44681</v>
      </c>
      <c r="AP1" s="3">
        <f>EOMONTH(DATEVALUE(LEFT(Sheet2!AP1,10)), 0)</f>
        <v>44712</v>
      </c>
      <c r="AQ1" s="3">
        <f>EOMONTH(DATEVALUE(LEFT(Sheet2!AQ1,10)), 0)</f>
        <v>44742</v>
      </c>
      <c r="AR1" s="3">
        <f>EOMONTH(DATEVALUE(LEFT(Sheet2!AR1,10)), 0)</f>
        <v>44773</v>
      </c>
      <c r="AS1" s="3">
        <f>EOMONTH(DATEVALUE(LEFT(Sheet2!AS1,10)), 0)</f>
        <v>44804</v>
      </c>
      <c r="AT1" s="3">
        <f>EOMONTH(DATEVALUE(LEFT(Sheet2!AT1,10)), 0)</f>
        <v>44834</v>
      </c>
      <c r="AU1" s="3">
        <f>EOMONTH(DATEVALUE(LEFT(Sheet2!AU1,10)), 0)</f>
        <v>44865</v>
      </c>
      <c r="AV1" s="3">
        <f>EOMONTH(DATEVALUE(LEFT(Sheet2!AV1,10)), 0)</f>
        <v>44895</v>
      </c>
      <c r="AW1" s="3">
        <f>EOMONTH(DATEVALUE(LEFT(Sheet2!AW1,10)), 0)</f>
        <v>44926</v>
      </c>
      <c r="AX1" s="3">
        <f>EOMONTH(DATEVALUE(LEFT(Sheet2!AX1,10)), 0)</f>
        <v>44957</v>
      </c>
      <c r="AY1" s="3">
        <f>EOMONTH(DATEVALUE(LEFT(Sheet2!AY1,10)), 0)</f>
        <v>44985</v>
      </c>
      <c r="AZ1" s="3">
        <f>EOMONTH(DATEVALUE(LEFT(Sheet2!AZ1,10)), 0)</f>
        <v>45016</v>
      </c>
      <c r="BA1" s="3">
        <f>EOMONTH(DATEVALUE(LEFT(Sheet2!BA1,10)), 0)</f>
        <v>45046</v>
      </c>
      <c r="BB1" s="3">
        <f>EOMONTH(DATEVALUE(LEFT(Sheet2!BB1,10)), 0)</f>
        <v>45077</v>
      </c>
      <c r="BC1" s="3">
        <f>EOMONTH(DATEVALUE(LEFT(Sheet2!BC1,10)), 0)</f>
        <v>45107</v>
      </c>
      <c r="BD1" s="3">
        <f>EOMONTH(DATEVALUE(LEFT(Sheet2!BD1,10)), 0)</f>
        <v>45138</v>
      </c>
      <c r="BE1" s="3">
        <f>EOMONTH(DATEVALUE(LEFT(Sheet2!BE1,10)), 0)</f>
        <v>45169</v>
      </c>
      <c r="BF1" s="3">
        <f>EOMONTH(DATEVALUE(LEFT(Sheet2!BF1,10)), 0)</f>
        <v>45199</v>
      </c>
      <c r="BG1" s="3">
        <f>EOMONTH(DATEVALUE(LEFT(Sheet2!BG1,10)), 0)</f>
        <v>45230</v>
      </c>
      <c r="BH1" s="3">
        <f>EOMONTH(DATEVALUE(LEFT(Sheet2!BH1,10)), 0)</f>
        <v>45260</v>
      </c>
      <c r="BI1" s="3">
        <f>EOMONTH(DATEVALUE(LEFT(Sheet2!BI1,10)), 0)</f>
        <v>45291</v>
      </c>
      <c r="BJ1" s="3">
        <f>EOMONTH(DATEVALUE(LEFT(Sheet2!BJ1,10)), 0)</f>
        <v>45322</v>
      </c>
      <c r="BK1" s="3">
        <f>EOMONTH(DATEVALUE(LEFT(Sheet2!BK1,10)), 0)</f>
        <v>45351</v>
      </c>
      <c r="BL1" s="3">
        <f>EOMONTH(DATEVALUE(LEFT(Sheet2!BL1,10)), 0)</f>
        <v>45382</v>
      </c>
      <c r="BM1" s="3">
        <f>EOMONTH(DATEVALUE(LEFT(Sheet2!BM1,10)), 0)</f>
        <v>45412</v>
      </c>
      <c r="BN1" s="3">
        <f>EOMONTH(DATEVALUE(LEFT(Sheet2!BN1,10)), 0)</f>
        <v>45443</v>
      </c>
      <c r="BO1" s="3">
        <f>EOMONTH(DATEVALUE(LEFT(Sheet2!BO1,10)), 0)</f>
        <v>45473</v>
      </c>
      <c r="BP1" s="3">
        <f>EOMONTH(DATEVALUE(LEFT(Sheet2!BP1,10)), 0)</f>
        <v>45504</v>
      </c>
      <c r="BQ1" s="3">
        <f>EOMONTH(DATEVALUE(LEFT(Sheet2!BQ1,10)), 0)</f>
        <v>45535</v>
      </c>
      <c r="BR1" s="3">
        <f>EOMONTH(DATEVALUE(LEFT(Sheet2!BR1,10)), 0)</f>
        <v>45565</v>
      </c>
      <c r="BS1" s="3">
        <f>EOMONTH(DATEVALUE(LEFT(Sheet2!BS1,10)), 0)</f>
        <v>45596</v>
      </c>
      <c r="BT1" s="3">
        <f>EOMONTH(DATEVALUE(LEFT(Sheet2!BT1,10)), 0)</f>
        <v>45626</v>
      </c>
      <c r="BU1" s="3">
        <f>EOMONTH(DATEVALUE(LEFT(Sheet2!BU1,10)), 0)</f>
        <v>45657</v>
      </c>
      <c r="BV1" s="3">
        <f>EOMONTH(DATEVALUE(LEFT(Sheet2!BV1,10)), 0)</f>
        <v>45688</v>
      </c>
      <c r="BW1" s="3">
        <f>EOMONTH(DATEVALUE(LEFT(Sheet2!BW1,10)), 0)</f>
        <v>45716</v>
      </c>
    </row>
    <row r="2" spans="1:75" x14ac:dyDescent="0.2">
      <c r="A2" s="5" t="s">
        <v>1</v>
      </c>
      <c r="B2" s="5">
        <v>5.9</v>
      </c>
      <c r="C2" s="5">
        <v>3.62</v>
      </c>
      <c r="D2" s="5">
        <v>0.41</v>
      </c>
      <c r="E2" s="5">
        <v>5.13</v>
      </c>
      <c r="F2" s="5" t="s">
        <v>81</v>
      </c>
      <c r="G2" s="5">
        <v>8.33</v>
      </c>
      <c r="H2" s="5" t="s">
        <v>82</v>
      </c>
      <c r="I2" s="5" t="s">
        <v>83</v>
      </c>
      <c r="J2" s="5">
        <v>3.21</v>
      </c>
      <c r="K2" s="5">
        <v>3.44</v>
      </c>
      <c r="L2" s="5">
        <v>1.59</v>
      </c>
      <c r="M2" s="5">
        <v>3.03</v>
      </c>
      <c r="N2" s="5" t="s">
        <v>84</v>
      </c>
      <c r="O2" s="5" t="s">
        <v>85</v>
      </c>
      <c r="P2" s="5" t="s">
        <v>86</v>
      </c>
      <c r="Q2" s="5">
        <v>5.14</v>
      </c>
      <c r="R2" s="5">
        <v>6.37</v>
      </c>
      <c r="S2" s="5">
        <v>7.43</v>
      </c>
      <c r="T2" s="5">
        <v>3.59</v>
      </c>
      <c r="U2" s="5">
        <v>4.3600000000000003</v>
      </c>
      <c r="V2" s="5" t="s">
        <v>87</v>
      </c>
      <c r="W2" s="5" t="s">
        <v>88</v>
      </c>
      <c r="X2" s="5">
        <v>21.26</v>
      </c>
      <c r="Y2" s="5">
        <v>4.0999999999999996</v>
      </c>
      <c r="Z2" s="5" t="s">
        <v>89</v>
      </c>
      <c r="AA2" s="5">
        <v>4.45</v>
      </c>
      <c r="AB2" s="5">
        <v>4.46</v>
      </c>
      <c r="AC2" s="5">
        <v>4.29</v>
      </c>
      <c r="AD2" s="5">
        <v>3.9</v>
      </c>
      <c r="AE2" s="5" t="s">
        <v>90</v>
      </c>
      <c r="AF2" s="5">
        <v>0.71</v>
      </c>
      <c r="AG2" s="5">
        <v>2.17</v>
      </c>
      <c r="AH2" s="5" t="s">
        <v>91</v>
      </c>
      <c r="AI2" s="5">
        <v>4.99</v>
      </c>
      <c r="AJ2" s="5" t="s">
        <v>92</v>
      </c>
      <c r="AK2" s="5">
        <v>6.9</v>
      </c>
      <c r="AL2" s="5" t="s">
        <v>93</v>
      </c>
      <c r="AM2" s="5" t="s">
        <v>94</v>
      </c>
      <c r="AN2" s="5" t="s">
        <v>95</v>
      </c>
      <c r="AO2" s="5" t="s">
        <v>96</v>
      </c>
      <c r="AP2" s="5">
        <v>2.4300000000000002</v>
      </c>
      <c r="AQ2" s="5" t="s">
        <v>97</v>
      </c>
      <c r="AR2" s="5">
        <v>4.79</v>
      </c>
      <c r="AS2" s="5" t="s">
        <v>98</v>
      </c>
      <c r="AT2" s="5" t="s">
        <v>99</v>
      </c>
      <c r="AU2" s="5">
        <v>10.06</v>
      </c>
      <c r="AV2" s="5">
        <v>14.28</v>
      </c>
      <c r="AW2" s="5" t="s">
        <v>100</v>
      </c>
      <c r="AX2" s="5">
        <v>11.82</v>
      </c>
      <c r="AY2" s="5" t="s">
        <v>101</v>
      </c>
      <c r="AZ2" s="5">
        <v>4.45</v>
      </c>
      <c r="BA2" s="5">
        <v>3.28</v>
      </c>
      <c r="BB2" s="5" t="s">
        <v>102</v>
      </c>
      <c r="BC2" s="5">
        <v>6.78</v>
      </c>
      <c r="BD2" s="5">
        <v>2.82</v>
      </c>
      <c r="BE2" s="5" t="s">
        <v>103</v>
      </c>
      <c r="BF2" s="5" t="s">
        <v>91</v>
      </c>
      <c r="BG2" s="5" t="s">
        <v>104</v>
      </c>
      <c r="BH2" s="5">
        <v>11.53</v>
      </c>
      <c r="BI2" s="5">
        <v>4.49</v>
      </c>
      <c r="BJ2" s="5">
        <v>1.21</v>
      </c>
      <c r="BK2" s="5">
        <v>4.6500000000000004</v>
      </c>
      <c r="BL2" s="5">
        <v>4.12</v>
      </c>
      <c r="BM2" s="5" t="s">
        <v>105</v>
      </c>
      <c r="BN2" s="5">
        <v>3.68</v>
      </c>
      <c r="BO2" s="5" t="s">
        <v>106</v>
      </c>
      <c r="BP2" s="5">
        <v>0.64</v>
      </c>
      <c r="BQ2" s="5">
        <v>4.13</v>
      </c>
      <c r="BR2" s="5">
        <v>1.74</v>
      </c>
      <c r="BS2" s="5" t="s">
        <v>107</v>
      </c>
      <c r="BT2" s="5" t="s">
        <v>108</v>
      </c>
      <c r="BU2" s="5" t="s">
        <v>109</v>
      </c>
      <c r="BV2" s="5">
        <v>8.52</v>
      </c>
      <c r="BW2" s="5">
        <v>3.49</v>
      </c>
    </row>
    <row r="3" spans="1:75" x14ac:dyDescent="0.2">
      <c r="A3" s="5" t="s">
        <v>2</v>
      </c>
      <c r="B3" s="5">
        <v>5.1100000000000003</v>
      </c>
      <c r="C3" s="5">
        <v>4.22</v>
      </c>
      <c r="D3" s="5">
        <v>2.72</v>
      </c>
      <c r="E3" s="5">
        <v>4.37</v>
      </c>
      <c r="F3" s="5" t="s">
        <v>110</v>
      </c>
      <c r="G3" s="5">
        <v>4.53</v>
      </c>
      <c r="H3" s="5">
        <v>0.21</v>
      </c>
      <c r="I3" s="5" t="s">
        <v>111</v>
      </c>
      <c r="J3" s="5">
        <v>4.01</v>
      </c>
      <c r="K3" s="5">
        <v>1.83</v>
      </c>
      <c r="L3" s="5">
        <v>3.01</v>
      </c>
      <c r="M3" s="5">
        <v>1.62</v>
      </c>
      <c r="N3" s="5" t="s">
        <v>112</v>
      </c>
      <c r="O3" s="5" t="s">
        <v>113</v>
      </c>
      <c r="P3" s="5" t="s">
        <v>114</v>
      </c>
      <c r="Q3" s="5">
        <v>7.17</v>
      </c>
      <c r="R3" s="5">
        <v>3.66</v>
      </c>
      <c r="S3" s="5">
        <v>3.2</v>
      </c>
      <c r="T3" s="5" t="s">
        <v>115</v>
      </c>
      <c r="U3" s="5">
        <v>3.07</v>
      </c>
      <c r="V3" s="5" t="s">
        <v>115</v>
      </c>
      <c r="W3" s="5" t="s">
        <v>116</v>
      </c>
      <c r="X3" s="5">
        <v>12.71</v>
      </c>
      <c r="Y3" s="5">
        <v>2.67</v>
      </c>
      <c r="Z3" s="5" t="s">
        <v>117</v>
      </c>
      <c r="AA3" s="5">
        <v>2.08</v>
      </c>
      <c r="AB3" s="5">
        <v>5.71</v>
      </c>
      <c r="AC3" s="5">
        <v>2.36</v>
      </c>
      <c r="AD3" s="5">
        <v>1.98</v>
      </c>
      <c r="AE3" s="5">
        <v>3.01</v>
      </c>
      <c r="AF3" s="5">
        <v>3.28</v>
      </c>
      <c r="AG3" s="5">
        <v>3.4</v>
      </c>
      <c r="AH3" s="5" t="s">
        <v>118</v>
      </c>
      <c r="AI3" s="5">
        <v>4.96</v>
      </c>
      <c r="AJ3" s="5" t="s">
        <v>119</v>
      </c>
      <c r="AK3" s="5">
        <v>5.68</v>
      </c>
      <c r="AL3" s="5" t="s">
        <v>120</v>
      </c>
      <c r="AM3" s="5" t="s">
        <v>121</v>
      </c>
      <c r="AN3" s="5">
        <v>1.74</v>
      </c>
      <c r="AO3" s="5" t="s">
        <v>122</v>
      </c>
      <c r="AP3" s="5" t="s">
        <v>123</v>
      </c>
      <c r="AQ3" s="5" t="s">
        <v>124</v>
      </c>
      <c r="AR3" s="5">
        <v>8.75</v>
      </c>
      <c r="AS3" s="5" t="s">
        <v>125</v>
      </c>
      <c r="AT3" s="5" t="s">
        <v>126</v>
      </c>
      <c r="AU3" s="5">
        <v>5.0199999999999996</v>
      </c>
      <c r="AV3" s="5">
        <v>7.01</v>
      </c>
      <c r="AW3" s="5" t="s">
        <v>127</v>
      </c>
      <c r="AX3" s="5">
        <v>7.21</v>
      </c>
      <c r="AY3" s="5">
        <v>1.6</v>
      </c>
      <c r="AZ3" s="5">
        <v>1.36</v>
      </c>
      <c r="BA3" s="5">
        <v>2.4300000000000002</v>
      </c>
      <c r="BB3" s="5" t="s">
        <v>128</v>
      </c>
      <c r="BC3" s="5">
        <v>1.61</v>
      </c>
      <c r="BD3" s="5">
        <v>1.64</v>
      </c>
      <c r="BE3" s="5" t="s">
        <v>89</v>
      </c>
      <c r="BF3" s="5" t="s">
        <v>129</v>
      </c>
      <c r="BG3" s="5" t="s">
        <v>130</v>
      </c>
      <c r="BH3" s="5">
        <v>7.91</v>
      </c>
      <c r="BI3" s="5">
        <v>3.6</v>
      </c>
      <c r="BJ3" s="5">
        <v>2.46</v>
      </c>
      <c r="BK3" s="5">
        <v>2.39</v>
      </c>
      <c r="BL3" s="5">
        <v>2.66</v>
      </c>
      <c r="BM3" s="5" t="s">
        <v>131</v>
      </c>
      <c r="BN3" s="5">
        <v>4.1399999999999997</v>
      </c>
      <c r="BO3" s="5" t="s">
        <v>132</v>
      </c>
      <c r="BP3" s="5">
        <v>0.4</v>
      </c>
      <c r="BQ3" s="5">
        <v>2.04</v>
      </c>
      <c r="BR3" s="5" t="s">
        <v>133</v>
      </c>
      <c r="BS3" s="5" t="s">
        <v>134</v>
      </c>
      <c r="BT3" s="5">
        <v>1.78</v>
      </c>
      <c r="BU3" s="5" t="s">
        <v>135</v>
      </c>
      <c r="BV3" s="5">
        <v>4.5999999999999996</v>
      </c>
      <c r="BW3" s="5" t="s">
        <v>136</v>
      </c>
    </row>
    <row r="4" spans="1:75" x14ac:dyDescent="0.2">
      <c r="A4" s="5" t="s">
        <v>3</v>
      </c>
      <c r="B4" s="5">
        <v>6.19</v>
      </c>
      <c r="C4" s="5">
        <v>6.2</v>
      </c>
      <c r="D4" s="5" t="s">
        <v>137</v>
      </c>
      <c r="E4" s="5">
        <v>6.58</v>
      </c>
      <c r="F4" s="5" t="s">
        <v>138</v>
      </c>
      <c r="G4" s="5">
        <v>5.1100000000000003</v>
      </c>
      <c r="H4" s="5" t="s">
        <v>122</v>
      </c>
      <c r="I4" s="5" t="s">
        <v>139</v>
      </c>
      <c r="J4" s="5">
        <v>8.19</v>
      </c>
      <c r="K4" s="5">
        <v>2.2799999999999998</v>
      </c>
      <c r="L4" s="5">
        <v>2.25</v>
      </c>
      <c r="M4" s="5">
        <v>2.16</v>
      </c>
      <c r="N4" s="5" t="s">
        <v>140</v>
      </c>
      <c r="O4" s="5" t="s">
        <v>141</v>
      </c>
      <c r="P4" s="5" t="s">
        <v>142</v>
      </c>
      <c r="Q4" s="5">
        <v>4.66</v>
      </c>
      <c r="R4" s="5" t="s">
        <v>143</v>
      </c>
      <c r="S4" s="5">
        <v>8.99</v>
      </c>
      <c r="T4" s="5" t="s">
        <v>144</v>
      </c>
      <c r="U4" s="5">
        <v>4.53</v>
      </c>
      <c r="V4" s="5" t="s">
        <v>145</v>
      </c>
      <c r="W4" s="5" t="s">
        <v>146</v>
      </c>
      <c r="X4" s="5">
        <v>24.94</v>
      </c>
      <c r="Y4" s="5">
        <v>2.4300000000000002</v>
      </c>
      <c r="Z4" s="5" t="s">
        <v>147</v>
      </c>
      <c r="AA4" s="5">
        <v>9.23</v>
      </c>
      <c r="AB4" s="5">
        <v>8.3800000000000008</v>
      </c>
      <c r="AC4" s="5" t="s">
        <v>148</v>
      </c>
      <c r="AD4" s="5">
        <v>1.32</v>
      </c>
      <c r="AE4" s="5" t="s">
        <v>149</v>
      </c>
      <c r="AF4" s="5">
        <v>0.81</v>
      </c>
      <c r="AG4" s="5">
        <v>4.53</v>
      </c>
      <c r="AH4" s="5" t="s">
        <v>150</v>
      </c>
      <c r="AI4" s="5">
        <v>5.16</v>
      </c>
      <c r="AJ4" s="5" t="s">
        <v>151</v>
      </c>
      <c r="AK4" s="5">
        <v>6.03</v>
      </c>
      <c r="AL4" s="5">
        <v>5.13</v>
      </c>
      <c r="AM4" s="5" t="s">
        <v>152</v>
      </c>
      <c r="AN4" s="5">
        <v>4.8899999999999997</v>
      </c>
      <c r="AO4" s="5" t="s">
        <v>153</v>
      </c>
      <c r="AP4" s="5" t="s">
        <v>154</v>
      </c>
      <c r="AQ4" s="5" t="s">
        <v>155</v>
      </c>
      <c r="AR4" s="5">
        <v>1.39</v>
      </c>
      <c r="AS4" s="5">
        <v>0.12</v>
      </c>
      <c r="AT4" s="5" t="s">
        <v>156</v>
      </c>
      <c r="AU4" s="5">
        <v>7.06</v>
      </c>
      <c r="AV4" s="5">
        <v>8.7200000000000006</v>
      </c>
      <c r="AW4" s="5" t="s">
        <v>157</v>
      </c>
      <c r="AX4" s="5">
        <v>6.33</v>
      </c>
      <c r="AY4" s="5">
        <v>0.41</v>
      </c>
      <c r="AZ4" s="5" t="s">
        <v>158</v>
      </c>
      <c r="BA4" s="5">
        <v>5.38</v>
      </c>
      <c r="BB4" s="5" t="s">
        <v>159</v>
      </c>
      <c r="BC4" s="5">
        <v>1.6</v>
      </c>
      <c r="BD4" s="5">
        <v>1.6</v>
      </c>
      <c r="BE4" s="5" t="s">
        <v>160</v>
      </c>
      <c r="BF4" s="5">
        <v>0.28999999999999998</v>
      </c>
      <c r="BG4" s="5" t="s">
        <v>161</v>
      </c>
      <c r="BH4" s="5">
        <v>4.4800000000000004</v>
      </c>
      <c r="BI4" s="5">
        <v>1.56</v>
      </c>
      <c r="BJ4" s="5">
        <v>2.33</v>
      </c>
      <c r="BK4" s="5">
        <v>3.73</v>
      </c>
      <c r="BL4" s="5">
        <v>4.6399999999999997</v>
      </c>
      <c r="BM4" s="5" t="s">
        <v>162</v>
      </c>
      <c r="BN4" s="5">
        <v>5.57</v>
      </c>
      <c r="BO4" s="5" t="s">
        <v>163</v>
      </c>
      <c r="BP4" s="5">
        <v>1.29</v>
      </c>
      <c r="BQ4" s="5">
        <v>4.1500000000000004</v>
      </c>
      <c r="BR4" s="5">
        <v>2.77</v>
      </c>
      <c r="BS4" s="5" t="s">
        <v>164</v>
      </c>
      <c r="BT4" s="5">
        <v>4.26</v>
      </c>
      <c r="BU4" s="5" t="s">
        <v>132</v>
      </c>
      <c r="BV4" s="5">
        <v>5.58</v>
      </c>
      <c r="BW4" s="5">
        <v>5.04</v>
      </c>
    </row>
    <row r="5" spans="1:75" x14ac:dyDescent="0.2">
      <c r="A5" s="5" t="s">
        <v>4</v>
      </c>
      <c r="B5" s="5">
        <v>8.18</v>
      </c>
      <c r="C5" s="5">
        <v>0.27</v>
      </c>
      <c r="D5" s="5">
        <v>2.87</v>
      </c>
      <c r="E5" s="5" t="s">
        <v>165</v>
      </c>
      <c r="F5" s="5" t="s">
        <v>166</v>
      </c>
      <c r="G5" s="5">
        <v>3.89</v>
      </c>
      <c r="H5" s="5">
        <v>0.96</v>
      </c>
      <c r="I5" s="5">
        <v>3.33</v>
      </c>
      <c r="J5" s="5">
        <v>4.3600000000000003</v>
      </c>
      <c r="K5" s="5">
        <v>0.24</v>
      </c>
      <c r="L5" s="5" t="s">
        <v>167</v>
      </c>
      <c r="M5" s="5">
        <v>3.73</v>
      </c>
      <c r="N5" s="5">
        <v>8.5</v>
      </c>
      <c r="O5" s="5" t="s">
        <v>168</v>
      </c>
      <c r="P5" s="5" t="s">
        <v>169</v>
      </c>
      <c r="Q5" s="5">
        <v>2.2000000000000002</v>
      </c>
      <c r="R5" s="5">
        <v>5.48</v>
      </c>
      <c r="S5" s="5">
        <v>5.03</v>
      </c>
      <c r="T5" s="5">
        <v>2.94</v>
      </c>
      <c r="U5" s="5" t="s">
        <v>170</v>
      </c>
      <c r="V5" s="5" t="s">
        <v>171</v>
      </c>
      <c r="W5" s="5" t="s">
        <v>172</v>
      </c>
      <c r="X5" s="5">
        <v>10.84</v>
      </c>
      <c r="Y5" s="5">
        <v>2.65</v>
      </c>
      <c r="Z5" s="5" t="s">
        <v>173</v>
      </c>
      <c r="AA5" s="5" t="s">
        <v>174</v>
      </c>
      <c r="AB5" s="5">
        <v>7.01</v>
      </c>
      <c r="AC5" s="5">
        <v>0.39</v>
      </c>
      <c r="AD5" s="5">
        <v>0.8</v>
      </c>
      <c r="AE5" s="5" t="s">
        <v>175</v>
      </c>
      <c r="AF5" s="5">
        <v>1.94</v>
      </c>
      <c r="AG5" s="5">
        <v>4.25</v>
      </c>
      <c r="AH5" s="5" t="s">
        <v>176</v>
      </c>
      <c r="AI5" s="5">
        <v>8.19</v>
      </c>
      <c r="AJ5" s="5" t="s">
        <v>177</v>
      </c>
      <c r="AK5" s="5">
        <v>5.25</v>
      </c>
      <c r="AL5" s="5" t="s">
        <v>178</v>
      </c>
      <c r="AM5" s="5">
        <v>1.92</v>
      </c>
      <c r="AN5" s="5" t="s">
        <v>168</v>
      </c>
      <c r="AO5" s="5">
        <v>2.63</v>
      </c>
      <c r="AP5" s="5" t="s">
        <v>179</v>
      </c>
      <c r="AQ5" s="5" t="s">
        <v>180</v>
      </c>
      <c r="AR5" s="5">
        <v>8.32</v>
      </c>
      <c r="AS5" s="5" t="s">
        <v>181</v>
      </c>
      <c r="AT5" s="5" t="s">
        <v>182</v>
      </c>
      <c r="AU5" s="5">
        <v>5.66</v>
      </c>
      <c r="AV5" s="5">
        <v>7.52</v>
      </c>
      <c r="AW5" s="5" t="s">
        <v>183</v>
      </c>
      <c r="AX5" s="5">
        <v>2.33</v>
      </c>
      <c r="AY5" s="5">
        <v>1.28</v>
      </c>
      <c r="AZ5" s="5">
        <v>3.8</v>
      </c>
      <c r="BA5" s="5">
        <v>4.21</v>
      </c>
      <c r="BB5" s="5" t="s">
        <v>106</v>
      </c>
      <c r="BC5" s="5">
        <v>2.5</v>
      </c>
      <c r="BD5" s="5" t="s">
        <v>184</v>
      </c>
      <c r="BE5" s="5" t="s">
        <v>185</v>
      </c>
      <c r="BF5" s="5" t="s">
        <v>186</v>
      </c>
      <c r="BG5" s="5">
        <v>0.62</v>
      </c>
      <c r="BH5" s="5">
        <v>7.37</v>
      </c>
      <c r="BI5" s="5">
        <v>2.4500000000000002</v>
      </c>
      <c r="BJ5" s="5" t="s">
        <v>187</v>
      </c>
      <c r="BK5" s="5" t="s">
        <v>188</v>
      </c>
      <c r="BL5" s="5">
        <v>4.2</v>
      </c>
      <c r="BM5" s="5">
        <v>0.51</v>
      </c>
      <c r="BN5" s="5">
        <v>3.88</v>
      </c>
      <c r="BO5" s="5" t="s">
        <v>189</v>
      </c>
      <c r="BP5" s="5">
        <v>6.53</v>
      </c>
      <c r="BQ5" s="5">
        <v>2.27</v>
      </c>
      <c r="BR5" s="5">
        <v>3.57</v>
      </c>
      <c r="BS5" s="5" t="s">
        <v>190</v>
      </c>
      <c r="BT5" s="5">
        <v>0.83</v>
      </c>
      <c r="BU5" s="5" t="s">
        <v>191</v>
      </c>
      <c r="BV5" s="5">
        <v>2.06</v>
      </c>
      <c r="BW5" s="5">
        <v>2.58</v>
      </c>
    </row>
    <row r="6" spans="1:75" x14ac:dyDescent="0.2">
      <c r="A6" s="5" t="s">
        <v>5</v>
      </c>
      <c r="B6" s="5">
        <v>7.98</v>
      </c>
      <c r="C6" s="5">
        <v>4.42</v>
      </c>
      <c r="D6" s="5">
        <v>0.76</v>
      </c>
      <c r="E6" s="5">
        <v>7.98</v>
      </c>
      <c r="F6" s="5" t="s">
        <v>192</v>
      </c>
      <c r="G6" s="5">
        <v>7.12</v>
      </c>
      <c r="H6" s="5" t="s">
        <v>193</v>
      </c>
      <c r="I6" s="5" t="s">
        <v>194</v>
      </c>
      <c r="J6" s="5">
        <v>2.98</v>
      </c>
      <c r="K6" s="5">
        <v>3.18</v>
      </c>
      <c r="L6" s="5">
        <v>4.67</v>
      </c>
      <c r="M6" s="5">
        <v>1.72</v>
      </c>
      <c r="N6" s="5" t="s">
        <v>165</v>
      </c>
      <c r="O6" s="5" t="s">
        <v>195</v>
      </c>
      <c r="P6" s="5" t="s">
        <v>196</v>
      </c>
      <c r="Q6" s="5">
        <v>8</v>
      </c>
      <c r="R6" s="5">
        <v>6.77</v>
      </c>
      <c r="S6" s="5">
        <v>4.53</v>
      </c>
      <c r="T6" s="5">
        <v>1.4</v>
      </c>
      <c r="U6" s="5">
        <v>6.3</v>
      </c>
      <c r="V6" s="5">
        <v>0.42</v>
      </c>
      <c r="W6" s="5" t="s">
        <v>197</v>
      </c>
      <c r="X6" s="5">
        <v>13.58</v>
      </c>
      <c r="Y6" s="5">
        <v>3.84</v>
      </c>
      <c r="Z6" s="5" t="s">
        <v>198</v>
      </c>
      <c r="AA6" s="5">
        <v>4.16</v>
      </c>
      <c r="AB6" s="5">
        <v>6.15</v>
      </c>
      <c r="AC6" s="5">
        <v>2.67</v>
      </c>
      <c r="AD6" s="5">
        <v>2.02</v>
      </c>
      <c r="AE6" s="5">
        <v>1.96</v>
      </c>
      <c r="AF6" s="5">
        <v>3.54</v>
      </c>
      <c r="AG6" s="5">
        <v>3.18</v>
      </c>
      <c r="AH6" s="5" t="s">
        <v>199</v>
      </c>
      <c r="AI6" s="5">
        <v>2.23</v>
      </c>
      <c r="AJ6" s="5" t="s">
        <v>200</v>
      </c>
      <c r="AK6" s="5">
        <v>7.11</v>
      </c>
      <c r="AL6" s="5" t="s">
        <v>201</v>
      </c>
      <c r="AM6" s="5" t="s">
        <v>202</v>
      </c>
      <c r="AN6" s="5" t="s">
        <v>203</v>
      </c>
      <c r="AO6" s="5" t="s">
        <v>204</v>
      </c>
      <c r="AP6" s="5" t="s">
        <v>205</v>
      </c>
      <c r="AQ6" s="5" t="s">
        <v>206</v>
      </c>
      <c r="AR6" s="5">
        <v>14.3</v>
      </c>
      <c r="AS6" s="5" t="s">
        <v>207</v>
      </c>
      <c r="AT6" s="5" t="s">
        <v>208</v>
      </c>
      <c r="AU6" s="5">
        <v>10.61</v>
      </c>
      <c r="AV6" s="5">
        <v>5.83</v>
      </c>
      <c r="AW6" s="5" t="s">
        <v>209</v>
      </c>
      <c r="AX6" s="5">
        <v>8.1</v>
      </c>
      <c r="AY6" s="5">
        <v>3.33</v>
      </c>
      <c r="AZ6" s="5">
        <v>1</v>
      </c>
      <c r="BA6" s="5">
        <v>1.17</v>
      </c>
      <c r="BB6" s="5" t="s">
        <v>210</v>
      </c>
      <c r="BC6" s="5">
        <v>3.55</v>
      </c>
      <c r="BD6" s="5">
        <v>1.81</v>
      </c>
      <c r="BE6" s="5" t="s">
        <v>211</v>
      </c>
      <c r="BF6" s="5" t="s">
        <v>212</v>
      </c>
      <c r="BG6" s="5" t="s">
        <v>213</v>
      </c>
      <c r="BH6" s="5">
        <v>11.8</v>
      </c>
      <c r="BI6" s="5">
        <v>7.47</v>
      </c>
      <c r="BJ6" s="5">
        <v>0.65</v>
      </c>
      <c r="BK6" s="5">
        <v>6.74</v>
      </c>
      <c r="BL6" s="5">
        <v>3.53</v>
      </c>
      <c r="BM6" s="5" t="s">
        <v>214</v>
      </c>
      <c r="BN6" s="5">
        <v>4.95</v>
      </c>
      <c r="BO6" s="5" t="s">
        <v>197</v>
      </c>
      <c r="BP6" s="5">
        <v>2.52</v>
      </c>
      <c r="BQ6" s="5">
        <v>0.97</v>
      </c>
      <c r="BR6" s="5">
        <v>1.67</v>
      </c>
      <c r="BS6" s="5" t="s">
        <v>183</v>
      </c>
      <c r="BT6" s="5">
        <v>2.64</v>
      </c>
      <c r="BU6" s="5" t="s">
        <v>215</v>
      </c>
      <c r="BV6" s="5">
        <v>6.63</v>
      </c>
      <c r="BW6" s="5">
        <v>4.01</v>
      </c>
    </row>
    <row r="7" spans="1:75" x14ac:dyDescent="0.2">
      <c r="A7" s="5" t="s">
        <v>6</v>
      </c>
      <c r="B7" s="5">
        <v>5.93</v>
      </c>
      <c r="C7" s="5">
        <v>3.35</v>
      </c>
      <c r="D7" s="5" t="s">
        <v>216</v>
      </c>
      <c r="E7" s="5">
        <v>7.02</v>
      </c>
      <c r="F7" s="5" t="s">
        <v>217</v>
      </c>
      <c r="G7" s="5">
        <v>1.71</v>
      </c>
      <c r="H7" s="5">
        <v>0.33</v>
      </c>
      <c r="I7" s="5">
        <v>0.55000000000000004</v>
      </c>
      <c r="J7" s="5">
        <v>1.89</v>
      </c>
      <c r="K7" s="5" t="s">
        <v>218</v>
      </c>
      <c r="L7" s="5">
        <v>0.24</v>
      </c>
      <c r="M7" s="5">
        <v>3.07</v>
      </c>
      <c r="N7" s="5" t="s">
        <v>219</v>
      </c>
      <c r="O7" s="5" t="s">
        <v>220</v>
      </c>
      <c r="P7" s="5" t="s">
        <v>221</v>
      </c>
      <c r="Q7" s="5">
        <v>5.77</v>
      </c>
      <c r="R7" s="5">
        <v>2.91</v>
      </c>
      <c r="S7" s="5">
        <v>1.1000000000000001</v>
      </c>
      <c r="T7" s="5" t="s">
        <v>222</v>
      </c>
      <c r="U7" s="5">
        <v>7.81</v>
      </c>
      <c r="V7" s="5" t="s">
        <v>223</v>
      </c>
      <c r="W7" s="5" t="s">
        <v>224</v>
      </c>
      <c r="X7" s="5">
        <v>14.45</v>
      </c>
      <c r="Y7" s="5">
        <v>4.54</v>
      </c>
      <c r="Z7" s="5">
        <v>0.22</v>
      </c>
      <c r="AA7" s="5">
        <v>3.33</v>
      </c>
      <c r="AB7" s="5">
        <v>6.56</v>
      </c>
      <c r="AC7" s="5">
        <v>3.05</v>
      </c>
      <c r="AD7" s="5">
        <v>1.18</v>
      </c>
      <c r="AE7" s="5">
        <v>1.44</v>
      </c>
      <c r="AF7" s="5">
        <v>5.63</v>
      </c>
      <c r="AG7" s="5">
        <v>4.54</v>
      </c>
      <c r="AH7" s="5" t="s">
        <v>225</v>
      </c>
      <c r="AI7" s="5">
        <v>2.63</v>
      </c>
      <c r="AJ7" s="5">
        <v>0.23</v>
      </c>
      <c r="AK7" s="5">
        <v>4.71</v>
      </c>
      <c r="AL7" s="5" t="s">
        <v>226</v>
      </c>
      <c r="AM7" s="5" t="s">
        <v>183</v>
      </c>
      <c r="AN7" s="5">
        <v>2.15</v>
      </c>
      <c r="AO7" s="5" t="s">
        <v>112</v>
      </c>
      <c r="AP7" s="5" t="s">
        <v>227</v>
      </c>
      <c r="AQ7" s="5" t="s">
        <v>228</v>
      </c>
      <c r="AR7" s="5">
        <v>12.07</v>
      </c>
      <c r="AS7" s="5" t="s">
        <v>229</v>
      </c>
      <c r="AT7" s="5" t="s">
        <v>110</v>
      </c>
      <c r="AU7" s="5">
        <v>8.56</v>
      </c>
      <c r="AV7" s="5">
        <v>4.6100000000000003</v>
      </c>
      <c r="AW7" s="5" t="s">
        <v>230</v>
      </c>
      <c r="AX7" s="5">
        <v>6.46</v>
      </c>
      <c r="AY7" s="5">
        <v>4.76</v>
      </c>
      <c r="AZ7" s="5">
        <v>0.66</v>
      </c>
      <c r="BA7" s="5">
        <v>0.68</v>
      </c>
      <c r="BB7" s="5" t="s">
        <v>231</v>
      </c>
      <c r="BC7" s="5">
        <v>4.96</v>
      </c>
      <c r="BD7" s="5">
        <v>2.9</v>
      </c>
      <c r="BE7" s="5" t="s">
        <v>232</v>
      </c>
      <c r="BF7" s="5">
        <v>2.92</v>
      </c>
      <c r="BG7" s="5">
        <v>0.85</v>
      </c>
      <c r="BH7" s="5">
        <v>5.25</v>
      </c>
      <c r="BI7" s="5">
        <v>4.09</v>
      </c>
      <c r="BJ7" s="5">
        <v>5.89</v>
      </c>
      <c r="BK7" s="5">
        <v>3.57</v>
      </c>
      <c r="BL7" s="5">
        <v>1.91</v>
      </c>
      <c r="BM7" s="5" t="s">
        <v>233</v>
      </c>
      <c r="BN7" s="5">
        <v>3.38</v>
      </c>
      <c r="BO7" s="5">
        <v>1.77</v>
      </c>
      <c r="BP7" s="5" t="s">
        <v>234</v>
      </c>
      <c r="BQ7" s="5" t="s">
        <v>136</v>
      </c>
      <c r="BR7" s="5">
        <v>0.28000000000000003</v>
      </c>
      <c r="BS7" s="5">
        <v>0.32</v>
      </c>
      <c r="BT7" s="5">
        <v>3.25</v>
      </c>
      <c r="BU7" s="5" t="s">
        <v>235</v>
      </c>
      <c r="BV7" s="5">
        <v>6.07</v>
      </c>
      <c r="BW7" s="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5E5B-20BF-884F-BB68-A1254A304BDB}">
  <dimension ref="B1:BW1"/>
  <sheetViews>
    <sheetView workbookViewId="0">
      <selection activeCell="B1" sqref="B1:BW1"/>
    </sheetView>
  </sheetViews>
  <sheetFormatPr baseColWidth="10" defaultRowHeight="16" x14ac:dyDescent="0.2"/>
  <sheetData>
    <row r="1" spans="2:75" x14ac:dyDescent="0.2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Larsen</dc:creator>
  <cp:lastModifiedBy>Daniel Larsen</cp:lastModifiedBy>
  <dcterms:created xsi:type="dcterms:W3CDTF">2025-08-02T17:35:47Z</dcterms:created>
  <dcterms:modified xsi:type="dcterms:W3CDTF">2026-01-07T16:24:43Z</dcterms:modified>
</cp:coreProperties>
</file>